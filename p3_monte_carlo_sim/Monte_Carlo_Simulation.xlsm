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Desktop/"/>
    </mc:Choice>
  </mc:AlternateContent>
  <xr:revisionPtr revIDLastSave="117178" documentId="8_{CBA02CAD-079D-4DF0-B9A9-E6A9084C613D}" xr6:coauthVersionLast="47" xr6:coauthVersionMax="47" xr10:uidLastSave="{FA543148-C266-4126-94BC-514A48CAF36A}"/>
  <bookViews>
    <workbookView xWindow="-108" yWindow="-108" windowWidth="23256" windowHeight="12576" xr2:uid="{606A6109-27FD-4507-85AC-3CA902A1DF75}"/>
  </bookViews>
  <sheets>
    <sheet name="Main" sheetId="1" r:id="rId1"/>
    <sheet name="Histogram" sheetId="8" r:id="rId2"/>
    <sheet name="Histogram Data" sheetId="3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23" i="1" l="1"/>
  <c r="L23" i="1" s="1"/>
  <c r="M23" i="1" s="1"/>
  <c r="K13" i="1"/>
  <c r="L13" i="1" s="1"/>
  <c r="M13" i="1" s="1"/>
  <c r="K16" i="1"/>
  <c r="L16" i="1" s="1"/>
  <c r="M16" i="1" s="1"/>
  <c r="K18" i="1"/>
  <c r="L18" i="1" s="1"/>
  <c r="M18" i="1" s="1"/>
  <c r="K12" i="1"/>
  <c r="L12" i="1" s="1"/>
  <c r="M12" i="1" s="1"/>
  <c r="K14" i="1"/>
  <c r="L14" i="1" s="1"/>
  <c r="M14" i="1" s="1"/>
  <c r="K15" i="1"/>
  <c r="L15" i="1" s="1"/>
  <c r="M15" i="1" s="1"/>
  <c r="K17" i="1"/>
  <c r="L17" i="1" s="1"/>
  <c r="M17" i="1" s="1"/>
  <c r="K24" i="1"/>
  <c r="L24" i="1" s="1"/>
  <c r="M24" i="1" s="1"/>
  <c r="K19" i="1"/>
  <c r="L19" i="1" s="1"/>
  <c r="M19" i="1" s="1"/>
  <c r="L10" i="1"/>
  <c r="M10" i="1" s="1"/>
  <c r="N10" i="1" s="1"/>
  <c r="K21" i="1"/>
  <c r="L21" i="1" s="1"/>
  <c r="M21" i="1" s="1"/>
  <c r="K20" i="1"/>
  <c r="L20" i="1" s="1"/>
  <c r="M20" i="1" s="1"/>
  <c r="L11" i="1"/>
  <c r="M11" i="1" s="1"/>
  <c r="K22" i="1"/>
  <c r="L22" i="1" s="1"/>
  <c r="M22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<sst xmlns="http://schemas.openxmlformats.org/spreadsheetml/2006/main" count="29" uniqueCount="22">
  <si>
    <t>C_land</t>
  </si>
  <si>
    <t>C_royalties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</si>
  <si>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</si>
  <si>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</si>
  <si>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</si>
  <si>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</si>
  <si>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</si>
  <si>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</si>
  <si>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</si>
  <si>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</si>
  <si>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S</t>
  </si>
  <si>
    <t>C</t>
  </si>
  <si>
    <t>ATE</t>
  </si>
  <si>
    <t>Cash Flow</t>
  </si>
  <si>
    <t>NPV</t>
  </si>
  <si>
    <t>Disc. CF</t>
  </si>
  <si>
    <t>MACRS-7</t>
  </si>
  <si>
    <t>i</t>
  </si>
  <si>
    <t>edit</t>
  </si>
  <si>
    <t>(PV)</t>
  </si>
  <si>
    <t>PROFITABILITY ANALYSIS - MONTE CARLO SIMULATION</t>
  </si>
  <si>
    <t>Tax: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</si>
</sst>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00FF99"/>
      <name val="Calibri"/>
      <family val="2"/>
      <charset val="238"/>
      <scheme val="minor"/>
    </font>
    <font>
      <b/>
      <u/>
      <sz val="16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0" xfId="0" applyFont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-57</c:v>
                </c:pt>
                <c:pt idx="1">
                  <c:v>-51</c:v>
                </c:pt>
                <c:pt idx="2">
                  <c:v>-45</c:v>
                </c:pt>
                <c:pt idx="3">
                  <c:v>-39</c:v>
                </c:pt>
                <c:pt idx="4">
                  <c:v>-33</c:v>
                </c:pt>
                <c:pt idx="5">
                  <c:v>-27</c:v>
                </c:pt>
                <c:pt idx="6">
                  <c:v>-21</c:v>
                </c:pt>
                <c:pt idx="7">
                  <c:v>-15</c:v>
                </c:pt>
                <c:pt idx="8">
                  <c:v>-9</c:v>
                </c:pt>
                <c:pt idx="9">
                  <c:v>-3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21</c:v>
                </c:pt>
                <c:pt idx="14">
                  <c:v>27</c:v>
                </c:pt>
                <c:pt idx="15">
                  <c:v>33</c:v>
                </c:pt>
                <c:pt idx="16">
                  <c:v>39</c:v>
                </c:pt>
                <c:pt idx="17">
                  <c:v>45</c:v>
                </c:pt>
                <c:pt idx="18">
                  <c:v>51</c:v>
                </c:pt>
                <c:pt idx="19">
                  <c:v>57</c:v>
                </c:pt>
                <c:pt idx="20">
                  <c:v>63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5</c:v>
                </c:pt>
                <c:pt idx="1">
                  <c:v>16</c:v>
                </c:pt>
                <c:pt idx="2">
                  <c:v>21</c:v>
                </c:pt>
                <c:pt idx="3">
                  <c:v>42</c:v>
                </c:pt>
                <c:pt idx="4">
                  <c:v>59</c:v>
                </c:pt>
                <c:pt idx="5">
                  <c:v>87</c:v>
                </c:pt>
                <c:pt idx="6">
                  <c:v>79</c:v>
                </c:pt>
                <c:pt idx="7">
                  <c:v>103</c:v>
                </c:pt>
                <c:pt idx="8">
                  <c:v>99</c:v>
                </c:pt>
                <c:pt idx="9">
                  <c:v>84</c:v>
                </c:pt>
                <c:pt idx="10">
                  <c:v>83</c:v>
                </c:pt>
                <c:pt idx="11">
                  <c:v>93</c:v>
                </c:pt>
                <c:pt idx="12">
                  <c:v>72</c:v>
                </c:pt>
                <c:pt idx="13">
                  <c:v>65</c:v>
                </c:pt>
                <c:pt idx="14">
                  <c:v>35</c:v>
                </c:pt>
                <c:pt idx="15">
                  <c:v>26</c:v>
                </c:pt>
                <c:pt idx="16">
                  <c:v>9</c:v>
                </c:pt>
                <c:pt idx="17">
                  <c:v>9</c:v>
                </c:pt>
                <c:pt idx="18">
                  <c:v>7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8-4081-B690-5971B99D0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4225520"/>
        <c:axId val="1024226480"/>
      </c:barChart>
      <c:catAx>
        <c:axId val="102422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226480"/>
        <c:crosses val="autoZero"/>
        <c:auto val="1"/>
        <c:lblAlgn val="ctr"/>
        <c:lblOffset val="100"/>
        <c:noMultiLvlLbl val="0"/>
      </c:catAx>
      <c:valAx>
        <c:axId val="102422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2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B5645A7-DA87-4C55-B211-18D2A3ED1F20}">
  <sheetPr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441960</xdr:rowOff>
        </xdr:from>
        <xdr:to>
          <xdr:col>0</xdr:col>
          <xdr:colOff>914400</xdr:colOff>
          <xdr:row>0</xdr:row>
          <xdr:rowOff>822960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4792BB-9BA3-8A14-AF0E-2E17DBD94B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3C87-D73A-48ED-A960-CDD786A53E84}">
  <sheetPr codeName="Sheet1"/>
  <dimension ref="A1:P24"/>
  <sheetViews>
    <sheetView showGridLines="0" tabSelected="1" workbookViewId="0">
      <selection activeCell="M8" sqref="M8"/>
    </sheetView>
  </sheetViews>
  <sheetFormatPr defaultRowHeight="14.4" x14ac:dyDescent="0.3"/>
  <cols>
    <col min="1" max="1" width="19.109375" customWidth="1"/>
    <col min="15" max="15" width="9.109375"/>
  </cols>
  <sheetData>
    <row r="1" spans="1:16" ht="87.75" customHeight="1" thickBot="1" x14ac:dyDescent="0.35">
      <c r="A1" s="7" t="s">
        <v>20</v>
      </c>
    </row>
    <row r="2" spans="1:16" ht="15" thickBot="1" x14ac:dyDescent="0.35">
      <c r="B2" s="6" t="s">
        <v>18</v>
      </c>
      <c r="E2" s="6" t="s">
        <v>18</v>
      </c>
      <c r="H2" s="6" t="s">
        <v>18</v>
      </c>
    </row>
    <row r="3" spans="1:16" x14ac:dyDescent="0.3">
      <c r="A3" s="1" t="s">
        <v>0</v>
      </c>
      <c r="B3" s="2">
        <v>-20</v>
      </c>
      <c r="D3" s="1" t="s">
        <v>10</v>
      </c>
      <c r="E3" s="2">
        <v>45.00736381234001</v>
      </c>
      <c r="G3" s="1" t="s">
        <v>11</v>
      </c>
      <c r="H3" s="2">
        <v>-7.8107268111310857</v>
      </c>
    </row>
    <row r="4" spans="1:16" ht="15" thickBot="1" x14ac:dyDescent="0.35">
      <c r="A4" s="1" t="s">
        <v>1</v>
      </c>
      <c r="B4" s="3">
        <v>-14.577451151588765</v>
      </c>
      <c r="D4" s="1" t="s">
        <v>21</v>
      </c>
      <c r="E4" s="4">
        <v>0.35</v>
      </c>
      <c r="G4" s="1" t="s">
        <v>17</v>
      </c>
      <c r="H4" s="4">
        <v>0.14253456592559816</v>
      </c>
    </row>
    <row r="5" spans="1:16" x14ac:dyDescent="0.3">
      <c r="A5" s="1" t="s">
        <v>2</v>
      </c>
      <c r="B5" s="3">
        <v>-90.179459122895679</v>
      </c>
    </row>
    <row r="6" spans="1:16" x14ac:dyDescent="0.3">
      <c r="A6" s="1" t="s">
        <v>3</v>
      </c>
      <c r="B6" s="3">
        <v>-18.077569782733917</v>
      </c>
    </row>
    <row r="7" spans="1:16" ht="15" thickBot="1" x14ac:dyDescent="0.35">
      <c r="A7" s="1" t="s">
        <v>4</v>
      </c>
      <c r="B7" s="4">
        <v>-15.301724333397217</v>
      </c>
    </row>
    <row r="8" spans="1:16" ht="15" thickBot="1" x14ac:dyDescent="0.35">
      <c r="A8" s="1"/>
      <c r="M8" s="11" t="s">
        <v>19</v>
      </c>
    </row>
    <row r="9" spans="1:16" ht="15" thickBot="1" x14ac:dyDescent="0.35">
      <c r="A9" s="8" t="s">
        <v>5</v>
      </c>
      <c r="B9" s="9" t="s">
        <v>2</v>
      </c>
      <c r="C9" s="9" t="s">
        <v>3</v>
      </c>
      <c r="D9" s="9" t="s">
        <v>0</v>
      </c>
      <c r="E9" s="9" t="s">
        <v>6</v>
      </c>
      <c r="F9" s="9" t="s">
        <v>7</v>
      </c>
      <c r="G9" s="9" t="s">
        <v>8</v>
      </c>
      <c r="H9" s="9" t="s">
        <v>9</v>
      </c>
      <c r="I9" s="9" t="s">
        <v>10</v>
      </c>
      <c r="J9" s="9" t="s">
        <v>11</v>
      </c>
      <c r="K9" s="9" t="s">
        <v>12</v>
      </c>
      <c r="L9" s="9" t="s">
        <v>13</v>
      </c>
      <c r="M9" s="9" t="s">
        <v>15</v>
      </c>
      <c r="N9" s="10" t="s">
        <v>14</v>
      </c>
      <c r="O9" s="5"/>
      <c r="P9" s="6" t="s">
        <v>16</v>
      </c>
    </row>
    <row r="10" spans="1:16" x14ac:dyDescent="0.3">
      <c r="A10">
        <v>1</v>
      </c>
      <c r="B10">
        <f>0.5*CTDC</f>
        <v>-45.08972956144784</v>
      </c>
      <c r="D10">
        <f>Cland</f>
        <v>-20</v>
      </c>
      <c r="L10">
        <f>B10+D10</f>
        <v>-65.08972956144784</v>
      </c>
      <c r="M10">
        <f>L10/(1+i)^(A10-1)</f>
        <v>-65.08972956144784</v>
      </c>
      <c r="N10">
        <f>M10</f>
        <v>-65.08972956144784</v>
      </c>
    </row>
    <row r="11" spans="1:16" x14ac:dyDescent="0.3">
      <c r="A11">
        <v>2</v>
      </c>
      <c r="B11">
        <f>0.5*CTDC</f>
        <v>-45.08972956144784</v>
      </c>
      <c r="C11">
        <f>WC</f>
        <v>-18.077569782733917</v>
      </c>
      <c r="F11">
        <f>Cstart</f>
        <v>-15.301724333397217</v>
      </c>
      <c r="L11">
        <f>B11+C11+F11</f>
        <v>-78.469023677578974</v>
      </c>
      <c r="M11">
        <f t="shared" ref="M11:M24" si="0">L11/(1+i)^(A11-1)</f>
        <v>-68.679780916745486</v>
      </c>
      <c r="N11">
        <f>N10+M11</f>
        <v>-133.76951047819333</v>
      </c>
    </row>
    <row r="12" spans="1:16" x14ac:dyDescent="0.3">
      <c r="A12">
        <v>3</v>
      </c>
      <c r="E12">
        <f t="shared" ref="E12:E24" si="1">Croyal</f>
        <v>-14.577451151588765</v>
      </c>
      <c r="H12">
        <f>P12*-CTDC</f>
        <v>12.886644708661793</v>
      </c>
      <c r="I12">
        <f>0.5*S</f>
        <v>22.503681906170005</v>
      </c>
      <c r="J12">
        <f>0.5*COS</f>
        <v>-3.9053634055655428</v>
      </c>
      <c r="K12">
        <f>(1-tax)*(I12-J12-H12)</f>
        <v>8.7895603919979397</v>
      </c>
      <c r="L12">
        <f>K12+H12+E12</f>
        <v>7.0987539490709679</v>
      </c>
      <c r="M12">
        <f t="shared" si="0"/>
        <v>5.4380528922470832</v>
      </c>
      <c r="N12">
        <f t="shared" ref="N12:N23" si="2">N11+M12</f>
        <v>-128.33145758594625</v>
      </c>
      <c r="P12">
        <v>0.1429</v>
      </c>
    </row>
    <row r="13" spans="1:16" x14ac:dyDescent="0.3">
      <c r="A13">
        <v>4</v>
      </c>
      <c r="E13">
        <f t="shared" si="1"/>
        <v>-14.577451151588765</v>
      </c>
      <c r="H13">
        <f t="shared" ref="H13:H17" si="3">P13*-CTDC</f>
        <v>22.084949539197151</v>
      </c>
      <c r="I13">
        <f>0.8*S</f>
        <v>36.005891049872012</v>
      </c>
      <c r="J13">
        <f>0.8*COS</f>
        <v>-6.2485814489048686</v>
      </c>
      <c r="K13">
        <f t="shared" ref="K13:K24" si="4">(1-tax)*(I13-J13-H13)</f>
        <v>13.110189923726823</v>
      </c>
      <c r="L13">
        <f t="shared" ref="L13:L23" si="5">K13+H13+E13</f>
        <v>20.617688311335211</v>
      </c>
      <c r="M13">
        <f t="shared" si="0"/>
        <v>13.823942731236354</v>
      </c>
      <c r="N13">
        <f t="shared" si="2"/>
        <v>-114.5075148547099</v>
      </c>
      <c r="P13">
        <v>0.24490000000000001</v>
      </c>
    </row>
    <row r="14" spans="1:16" x14ac:dyDescent="0.3">
      <c r="A14">
        <v>5</v>
      </c>
      <c r="E14">
        <f t="shared" si="1"/>
        <v>-14.577451151588765</v>
      </c>
      <c r="H14">
        <f t="shared" si="3"/>
        <v>15.772387400594454</v>
      </c>
      <c r="I14">
        <f t="shared" ref="I14:I24" si="6">S</f>
        <v>45.00736381234001</v>
      </c>
      <c r="J14">
        <f t="shared" ref="J14:J24" si="7">COS</f>
        <v>-7.8107268111310857</v>
      </c>
      <c r="K14">
        <f t="shared" si="4"/>
        <v>24.079707094869818</v>
      </c>
      <c r="L14">
        <f t="shared" si="5"/>
        <v>25.274643343875507</v>
      </c>
      <c r="M14">
        <f t="shared" si="0"/>
        <v>14.832270732266442</v>
      </c>
      <c r="N14">
        <f t="shared" si="2"/>
        <v>-99.675244122443459</v>
      </c>
      <c r="P14">
        <v>0.1749</v>
      </c>
    </row>
    <row r="15" spans="1:16" x14ac:dyDescent="0.3">
      <c r="A15">
        <v>6</v>
      </c>
      <c r="E15">
        <f t="shared" si="1"/>
        <v>-14.577451151588765</v>
      </c>
      <c r="H15">
        <f t="shared" si="3"/>
        <v>11.263414444449671</v>
      </c>
      <c r="I15">
        <f t="shared" si="6"/>
        <v>45.00736381234001</v>
      </c>
      <c r="J15">
        <f t="shared" si="7"/>
        <v>-7.8107268111310857</v>
      </c>
      <c r="K15">
        <f t="shared" si="4"/>
        <v>27.010539516363924</v>
      </c>
      <c r="L15">
        <f t="shared" si="5"/>
        <v>23.696502809224828</v>
      </c>
      <c r="M15">
        <f>L15/(1+i)^(A15-1)</f>
        <v>12.17131540007167</v>
      </c>
      <c r="N15">
        <f t="shared" si="2"/>
        <v>-87.503928722371796</v>
      </c>
      <c r="P15">
        <v>0.1249</v>
      </c>
    </row>
    <row r="16" spans="1:16" x14ac:dyDescent="0.3">
      <c r="A16">
        <v>7</v>
      </c>
      <c r="E16">
        <f t="shared" si="1"/>
        <v>-14.577451151588765</v>
      </c>
      <c r="H16">
        <f t="shared" si="3"/>
        <v>8.0530256996745848</v>
      </c>
      <c r="I16">
        <f t="shared" si="6"/>
        <v>45.00736381234001</v>
      </c>
      <c r="J16">
        <f t="shared" si="7"/>
        <v>-7.8107268111310857</v>
      </c>
      <c r="K16">
        <f t="shared" si="4"/>
        <v>29.097292200467731</v>
      </c>
      <c r="L16">
        <f t="shared" si="5"/>
        <v>22.572866748553547</v>
      </c>
      <c r="M16">
        <f t="shared" si="0"/>
        <v>10.147770344272779</v>
      </c>
      <c r="N16">
        <f t="shared" si="2"/>
        <v>-77.356158378099025</v>
      </c>
      <c r="P16">
        <v>8.9300000000000004E-2</v>
      </c>
    </row>
    <row r="17" spans="1:16" x14ac:dyDescent="0.3">
      <c r="A17">
        <v>8</v>
      </c>
      <c r="E17">
        <f t="shared" si="1"/>
        <v>-14.577451151588765</v>
      </c>
      <c r="H17">
        <f t="shared" si="3"/>
        <v>8.044007753762294</v>
      </c>
      <c r="I17">
        <f t="shared" si="6"/>
        <v>45.00736381234001</v>
      </c>
      <c r="J17">
        <f t="shared" si="7"/>
        <v>-7.8107268111310857</v>
      </c>
      <c r="K17">
        <f t="shared" si="4"/>
        <v>29.10315386531072</v>
      </c>
      <c r="L17">
        <f t="shared" si="5"/>
        <v>22.569710467484253</v>
      </c>
      <c r="M17">
        <f t="shared" si="0"/>
        <v>8.8805640734279088</v>
      </c>
      <c r="N17">
        <f t="shared" si="2"/>
        <v>-68.47559430467112</v>
      </c>
      <c r="P17">
        <v>8.9200000000000002E-2</v>
      </c>
    </row>
    <row r="18" spans="1:16" x14ac:dyDescent="0.3">
      <c r="A18">
        <v>9</v>
      </c>
      <c r="E18">
        <f t="shared" si="1"/>
        <v>-14.577451151588765</v>
      </c>
      <c r="H18">
        <f>P18*-CTDC</f>
        <v>8.0530256996745848</v>
      </c>
      <c r="I18">
        <f t="shared" si="6"/>
        <v>45.00736381234001</v>
      </c>
      <c r="J18">
        <f>COS</f>
        <v>-7.8107268111310857</v>
      </c>
      <c r="K18">
        <f t="shared" si="4"/>
        <v>29.097292200467731</v>
      </c>
      <c r="L18">
        <f t="shared" si="5"/>
        <v>22.572866748553547</v>
      </c>
      <c r="M18">
        <f t="shared" si="0"/>
        <v>7.7737744210381958</v>
      </c>
      <c r="N18">
        <f t="shared" si="2"/>
        <v>-60.701819883632922</v>
      </c>
      <c r="P18">
        <v>8.9300000000000004E-2</v>
      </c>
    </row>
    <row r="19" spans="1:16" x14ac:dyDescent="0.3">
      <c r="A19">
        <v>10</v>
      </c>
      <c r="E19">
        <f t="shared" si="1"/>
        <v>-14.577451151588765</v>
      </c>
      <c r="H19">
        <f>P19*-CTDC</f>
        <v>4.022003876881147</v>
      </c>
      <c r="I19">
        <f t="shared" si="6"/>
        <v>45.00736381234001</v>
      </c>
      <c r="J19">
        <f t="shared" si="7"/>
        <v>-7.8107268111310857</v>
      </c>
      <c r="K19">
        <f t="shared" si="4"/>
        <v>31.717456385283469</v>
      </c>
      <c r="L19">
        <f t="shared" si="5"/>
        <v>21.162009110575848</v>
      </c>
      <c r="M19">
        <f t="shared" si="0"/>
        <v>6.3787086396133121</v>
      </c>
      <c r="N19">
        <f t="shared" si="2"/>
        <v>-54.323111244019607</v>
      </c>
      <c r="P19">
        <v>4.4600000000000001E-2</v>
      </c>
    </row>
    <row r="20" spans="1:16" x14ac:dyDescent="0.3">
      <c r="A20">
        <v>11</v>
      </c>
      <c r="E20">
        <f t="shared" si="1"/>
        <v>-14.577451151588765</v>
      </c>
      <c r="I20">
        <f t="shared" si="6"/>
        <v>45.00736381234001</v>
      </c>
      <c r="J20">
        <f t="shared" si="7"/>
        <v>-7.8107268111310857</v>
      </c>
      <c r="K20">
        <f t="shared" si="4"/>
        <v>34.331758905256208</v>
      </c>
      <c r="L20">
        <f t="shared" si="5"/>
        <v>19.754307753667444</v>
      </c>
      <c r="M20">
        <f t="shared" si="0"/>
        <v>5.2115671234884724</v>
      </c>
      <c r="N20">
        <f t="shared" si="2"/>
        <v>-49.111544120531136</v>
      </c>
    </row>
    <row r="21" spans="1:16" x14ac:dyDescent="0.3">
      <c r="A21">
        <v>12</v>
      </c>
      <c r="E21">
        <f t="shared" si="1"/>
        <v>-14.577451151588765</v>
      </c>
      <c r="I21">
        <f t="shared" si="6"/>
        <v>45.00736381234001</v>
      </c>
      <c r="J21">
        <f t="shared" si="7"/>
        <v>-7.8107268111310857</v>
      </c>
      <c r="K21">
        <f t="shared" si="4"/>
        <v>34.331758905256208</v>
      </c>
      <c r="L21">
        <f t="shared" si="5"/>
        <v>19.754307753667444</v>
      </c>
      <c r="M21">
        <f t="shared" si="0"/>
        <v>4.561408712625199</v>
      </c>
      <c r="N21">
        <f t="shared" si="2"/>
        <v>-44.550135407905934</v>
      </c>
    </row>
    <row r="22" spans="1:16" x14ac:dyDescent="0.3">
      <c r="A22">
        <v>13</v>
      </c>
      <c r="E22">
        <f t="shared" si="1"/>
        <v>-14.577451151588765</v>
      </c>
      <c r="I22">
        <f t="shared" si="6"/>
        <v>45.00736381234001</v>
      </c>
      <c r="J22">
        <f t="shared" si="7"/>
        <v>-7.8107268111310857</v>
      </c>
      <c r="K22">
        <f t="shared" si="4"/>
        <v>34.331758905256208</v>
      </c>
      <c r="L22">
        <f t="shared" si="5"/>
        <v>19.754307753667444</v>
      </c>
      <c r="M22">
        <f t="shared" si="0"/>
        <v>3.9923594862356553</v>
      </c>
      <c r="N22">
        <f t="shared" si="2"/>
        <v>-40.557775921670277</v>
      </c>
    </row>
    <row r="23" spans="1:16" x14ac:dyDescent="0.3">
      <c r="A23">
        <v>14</v>
      </c>
      <c r="E23">
        <f t="shared" si="1"/>
        <v>-14.577451151588765</v>
      </c>
      <c r="I23">
        <f t="shared" si="6"/>
        <v>45.00736381234001</v>
      </c>
      <c r="J23">
        <f t="shared" si="7"/>
        <v>-7.8107268111310857</v>
      </c>
      <c r="K23">
        <f t="shared" si="4"/>
        <v>34.331758905256208</v>
      </c>
      <c r="L23">
        <f t="shared" si="5"/>
        <v>19.754307753667444</v>
      </c>
      <c r="M23">
        <f t="shared" si="0"/>
        <v>3.4943008336919217</v>
      </c>
      <c r="N23">
        <f t="shared" si="2"/>
        <v>-37.063475087978354</v>
      </c>
    </row>
    <row r="24" spans="1:16" x14ac:dyDescent="0.3">
      <c r="A24">
        <v>15</v>
      </c>
      <c r="C24">
        <f>-WC</f>
        <v>18.077569782733917</v>
      </c>
      <c r="E24">
        <f t="shared" si="1"/>
        <v>-14.577451151588765</v>
      </c>
      <c r="I24">
        <f t="shared" si="6"/>
        <v>45.00736381234001</v>
      </c>
      <c r="J24">
        <f t="shared" si="7"/>
        <v>-7.8107268111310857</v>
      </c>
      <c r="K24">
        <f t="shared" si="4"/>
        <v>34.331758905256208</v>
      </c>
      <c r="L24">
        <f>C24+K24+G24+E24</f>
        <v>37.831877536401365</v>
      </c>
      <c r="M24">
        <f t="shared" si="0"/>
        <v>5.857159134736424</v>
      </c>
      <c r="N24">
        <f>N23+M24</f>
        <v>-31.20631595324193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0</xdr:col>
                    <xdr:colOff>259080</xdr:colOff>
                    <xdr:row>0</xdr:row>
                    <xdr:rowOff>441960</xdr:rowOff>
                  </from>
                  <to>
                    <xdr:col>0</xdr:col>
                    <xdr:colOff>914400</xdr:colOff>
                    <xdr:row>0</xdr:row>
                    <xdr:rowOff>822960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E708F-DA8C-4BE6-B630-3ECCF1E3B26B}">
  <sheetPr codeName="Sheet3"/>
  <dimension ref="A1:B21"/>
  <sheetViews>
    <sheetView showGridLines="0" workbookViewId="0">
      <selection sqref="A1:B21"/>
    </sheetView>
  </sheetViews>
  <sheetFormatPr defaultRowHeight="14.4" x14ac:dyDescent="0.3"/>
  <sheetData>
    <row r="1" spans="1:2" x14ac:dyDescent="0.3">
      <c r="A1">
        <v>-57</v>
      </c>
      <c r="B1">
        <v>5</v>
      </c>
    </row>
    <row r="2" spans="1:2" x14ac:dyDescent="0.3">
      <c r="A2">
        <v>-51</v>
      </c>
      <c r="B2">
        <v>16</v>
      </c>
    </row>
    <row r="3" spans="1:2" x14ac:dyDescent="0.3">
      <c r="A3">
        <v>-45</v>
      </c>
      <c r="B3">
        <v>21</v>
      </c>
    </row>
    <row r="4" spans="1:2" x14ac:dyDescent="0.3">
      <c r="A4">
        <v>-39</v>
      </c>
      <c r="B4">
        <v>42</v>
      </c>
    </row>
    <row r="5" spans="1:2" x14ac:dyDescent="0.3">
      <c r="A5">
        <v>-33</v>
      </c>
      <c r="B5">
        <v>59</v>
      </c>
    </row>
    <row r="6" spans="1:2" x14ac:dyDescent="0.3">
      <c r="A6">
        <v>-27</v>
      </c>
      <c r="B6">
        <v>87</v>
      </c>
    </row>
    <row r="7" spans="1:2" x14ac:dyDescent="0.3">
      <c r="A7">
        <v>-21</v>
      </c>
      <c r="B7">
        <v>79</v>
      </c>
    </row>
    <row r="8" spans="1:2" x14ac:dyDescent="0.3">
      <c r="A8">
        <v>-15</v>
      </c>
      <c r="B8">
        <v>103</v>
      </c>
    </row>
    <row r="9" spans="1:2" x14ac:dyDescent="0.3">
      <c r="A9">
        <v>-9</v>
      </c>
      <c r="B9">
        <v>99</v>
      </c>
    </row>
    <row r="10" spans="1:2" x14ac:dyDescent="0.3">
      <c r="A10">
        <v>-3</v>
      </c>
      <c r="B10">
        <v>84</v>
      </c>
    </row>
    <row r="11" spans="1:2" x14ac:dyDescent="0.3">
      <c r="A11">
        <v>3</v>
      </c>
      <c r="B11">
        <v>83</v>
      </c>
    </row>
    <row r="12" spans="1:2" x14ac:dyDescent="0.3">
      <c r="A12">
        <v>9</v>
      </c>
      <c r="B12">
        <v>93</v>
      </c>
    </row>
    <row r="13" spans="1:2" x14ac:dyDescent="0.3">
      <c r="A13">
        <v>15</v>
      </c>
      <c r="B13">
        <v>72</v>
      </c>
    </row>
    <row r="14" spans="1:2" x14ac:dyDescent="0.3">
      <c r="A14">
        <v>21</v>
      </c>
      <c r="B14">
        <v>65</v>
      </c>
    </row>
    <row r="15" spans="1:2" x14ac:dyDescent="0.3">
      <c r="A15">
        <v>27</v>
      </c>
      <c r="B15">
        <v>35</v>
      </c>
    </row>
    <row r="16" spans="1:2" x14ac:dyDescent="0.3">
      <c r="A16">
        <v>33</v>
      </c>
      <c r="B16">
        <v>26</v>
      </c>
    </row>
    <row r="17" spans="1:2" x14ac:dyDescent="0.3">
      <c r="A17">
        <v>39</v>
      </c>
      <c r="B17">
        <v>9</v>
      </c>
    </row>
    <row r="18" spans="1:2" x14ac:dyDescent="0.3">
      <c r="A18">
        <v>45</v>
      </c>
      <c r="B18">
        <v>9</v>
      </c>
    </row>
    <row r="19" spans="1:2" x14ac:dyDescent="0.3">
      <c r="A19">
        <v>51</v>
      </c>
      <c r="B19">
        <v>7</v>
      </c>
    </row>
    <row r="20" spans="1:2" x14ac:dyDescent="0.3">
      <c r="A20">
        <v>57</v>
      </c>
      <c r="B20">
        <v>2</v>
      </c>
    </row>
    <row r="21" spans="1:2" x14ac:dyDescent="0.3">
      <c r="A21">
        <v>63</v>
      </c>
      <c r="B2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dcterms:created xsi:type="dcterms:W3CDTF">2023-06-01T18:50:43Z</dcterms:created>
  <dcterms:modified xsi:type="dcterms:W3CDTF">2023-06-02T19:03:05Z</dcterms:modified>
</cp:coreProperties>
</file>